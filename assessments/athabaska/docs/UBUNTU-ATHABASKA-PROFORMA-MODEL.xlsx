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Sources &amp; Uses" sheetId="3" state="visible" r:id="rId3"/>
    <sheet name="Operating" sheetId="4" state="visible" r:id="rId4"/>
    <sheet name="20-Year Cash Flow" sheetId="5" state="visible" r:id="rId5"/>
    <sheet name="Returns" sheetId="6" state="visible" r:id="rId6"/>
    <sheet name="Sensitivity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&quot;×&quot;"/>
  </numFmts>
  <fonts count="20">
    <font>
      <name val="Calibri"/>
      <family val="2"/>
      <color theme="1"/>
      <sz val="11"/>
      <scheme val="minor"/>
    </font>
    <font>
      <name val="Georgia"/>
      <b val="1"/>
      <color rgb="00F3EAD6"/>
      <sz val="20"/>
    </font>
    <font>
      <name val="Georgia"/>
      <i val="1"/>
      <color rgb="00E0AD53"/>
      <sz val="10"/>
    </font>
    <font>
      <name val="Consolas"/>
      <b val="1"/>
      <color rgb="001F1612"/>
      <sz val="9"/>
    </font>
    <font>
      <name val="Georgia"/>
      <color rgb="00161210"/>
      <sz val="11"/>
    </font>
    <font>
      <name val="Calibri"/>
      <b val="1"/>
      <color rgb="001F1612"/>
      <sz val="11"/>
    </font>
    <font>
      <name val="Georgia"/>
      <i val="1"/>
      <color rgb="006B5B47"/>
      <sz val="9"/>
    </font>
    <font>
      <name val="Georgia"/>
      <i val="1"/>
      <color rgb="006B5B47"/>
      <sz val="10"/>
    </font>
    <font>
      <name val="Georgia"/>
      <color rgb="006B5B47"/>
      <sz val="10"/>
    </font>
    <font>
      <name val="Georgia"/>
      <b val="1"/>
      <color rgb="001F1612"/>
      <sz val="15"/>
    </font>
    <font>
      <name val="Consolas"/>
      <b val="1"/>
      <color rgb="00F3EAD6"/>
      <sz val="9"/>
    </font>
    <font>
      <name val="Georgia"/>
      <b val="1"/>
      <color rgb="00161210"/>
      <sz val="11"/>
    </font>
    <font>
      <name val="Calibri"/>
      <b val="1"/>
      <color rgb="004A4E2B"/>
      <sz val="11"/>
    </font>
    <font>
      <name val="Georgia"/>
      <b val="1"/>
      <color rgb="004A4E2B"/>
      <sz val="11"/>
    </font>
    <font>
      <name val="Georgia"/>
      <i val="1"/>
      <color rgb="00C89344"/>
      <sz val="11"/>
    </font>
    <font>
      <name val="Calibri"/>
      <color rgb="00161210"/>
      <sz val="11"/>
    </font>
    <font>
      <name val="Calibri"/>
      <b val="1"/>
      <color rgb="00161210"/>
      <sz val="11"/>
    </font>
    <font>
      <name val="Calibri"/>
      <color rgb="008A3B1F"/>
      <sz val="11"/>
    </font>
    <font>
      <name val="Georgia"/>
      <i val="1"/>
      <color rgb="00C89344"/>
      <sz val="10"/>
    </font>
    <font>
      <name val="Georgia"/>
      <color rgb="003A2D22"/>
      <sz val="10"/>
    </font>
  </fonts>
  <fills count="5">
    <fill>
      <patternFill/>
    </fill>
    <fill>
      <patternFill patternType="gray125"/>
    </fill>
    <fill>
      <patternFill patternType="solid">
        <fgColor rgb="001F1612"/>
      </patternFill>
    </fill>
    <fill>
      <patternFill patternType="solid">
        <fgColor rgb="00EFE4C8"/>
      </patternFill>
    </fill>
    <fill>
      <patternFill patternType="solid">
        <fgColor rgb="00FBF6E9"/>
      </patternFill>
    </fill>
  </fills>
  <borders count="4">
    <border>
      <left/>
      <right/>
      <top/>
      <bottom/>
      <diagonal/>
    </border>
    <border>
      <bottom style="medium">
        <color rgb="00C89344"/>
      </bottom>
    </border>
    <border>
      <left style="thin">
        <color rgb="00D8C9A6"/>
      </left>
      <right style="thin">
        <color rgb="00D8C9A6"/>
      </right>
      <top style="thin">
        <color rgb="00D8C9A6"/>
      </top>
      <bottom style="thin">
        <color rgb="00D8C9A6"/>
      </bottom>
    </border>
    <border>
      <top style="thin">
        <color rgb="00D8C9A6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7" fillId="0" borderId="0" pivotButton="0" quotePrefix="0" xfId="0"/>
    <xf numFmtId="0" fontId="3" fillId="0" borderId="1" applyAlignment="1" pivotButton="0" quotePrefix="0" xfId="0">
      <alignment vertical="center" indent="1"/>
    </xf>
    <xf numFmtId="0" fontId="0" fillId="0" borderId="1" pivotButton="0" quotePrefix="0" xfId="0"/>
    <xf numFmtId="0" fontId="8" fillId="0" borderId="0" pivotButton="0" quotePrefix="0" xfId="0"/>
    <xf numFmtId="164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9" fontId="9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indent="1"/>
    </xf>
    <xf numFmtId="0" fontId="10" fillId="2" borderId="0" applyAlignment="1" pivotButton="0" quotePrefix="0" xfId="0">
      <alignment horizontal="right" vertical="center" indent="1"/>
    </xf>
    <xf numFmtId="0" fontId="11" fillId="0" borderId="0" pivotButton="0" quotePrefix="0" xfId="0"/>
    <xf numFmtId="164" fontId="12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3" fontId="5" fillId="3" borderId="2" applyAlignment="1" pivotButton="0" quotePrefix="0" xfId="0">
      <alignment horizontal="right"/>
    </xf>
    <xf numFmtId="0" fontId="6" fillId="0" borderId="0" pivotButton="0" quotePrefix="0" xfId="0"/>
    <xf numFmtId="164" fontId="5" fillId="3" borderId="2" applyAlignment="1" pivotButton="0" quotePrefix="0" xfId="0">
      <alignment horizontal="right"/>
    </xf>
    <xf numFmtId="9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164" fontId="5" fillId="3" borderId="0" applyAlignment="1" pivotButton="0" quotePrefix="0" xfId="0">
      <alignment horizontal="right"/>
    </xf>
    <xf numFmtId="9" fontId="16" fillId="3" borderId="0" applyAlignment="1" pivotButton="0" quotePrefix="0" xfId="0">
      <alignment horizontal="right"/>
    </xf>
    <xf numFmtId="9" fontId="15" fillId="0" borderId="0" applyAlignment="1" pivotButton="0" quotePrefix="0" xfId="0">
      <alignment horizontal="right"/>
    </xf>
    <xf numFmtId="0" fontId="11" fillId="0" borderId="3" pivotButton="0" quotePrefix="0" xfId="0"/>
    <xf numFmtId="0" fontId="6" fillId="0" borderId="3" pivotButton="0" quotePrefix="0" xfId="0"/>
    <xf numFmtId="164" fontId="16" fillId="0" borderId="3" applyAlignment="1" pivotButton="0" quotePrefix="0" xfId="0">
      <alignment horizontal="right"/>
    </xf>
    <xf numFmtId="0" fontId="11" fillId="3" borderId="0" pivotButton="0" quotePrefix="0" xfId="0"/>
    <xf numFmtId="0" fontId="6" fillId="3" borderId="0" pivotButton="0" quotePrefix="0" xfId="0"/>
    <xf numFmtId="164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9" fontId="5" fillId="0" borderId="0" applyAlignment="1" pivotButton="0" quotePrefix="0" xfId="0">
      <alignment horizontal="right"/>
    </xf>
    <xf numFmtId="3" fontId="15" fillId="0" borderId="0" applyAlignment="1" pivotButton="0" quotePrefix="0" xfId="0">
      <alignment horizontal="center"/>
    </xf>
    <xf numFmtId="3" fontId="15" fillId="4" borderId="0" applyAlignment="1" pivotButton="0" quotePrefix="0" xfId="0">
      <alignment horizontal="center"/>
    </xf>
    <xf numFmtId="164" fontId="15" fillId="4" borderId="0" applyAlignment="1" pivotButton="0" quotePrefix="0" xfId="0">
      <alignment horizontal="right"/>
    </xf>
    <xf numFmtId="0" fontId="0" fillId="3" borderId="0" pivotButton="0" quotePrefix="0" xfId="0"/>
    <xf numFmtId="164" fontId="12" fillId="3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0" fontId="18" fillId="0" borderId="0" pivotButton="0" quotePrefix="0" xfId="0"/>
    <xf numFmtId="166" fontId="15" fillId="0" borderId="0" applyAlignment="1" pivotButton="0" quotePrefix="0" xfId="0">
      <alignment horizontal="right"/>
    </xf>
    <xf numFmtId="166" fontId="15" fillId="3" borderId="0" applyAlignment="1" pivotButton="0" quotePrefix="0" xfId="0">
      <alignment horizontal="right"/>
    </xf>
    <xf numFmtId="0" fontId="19" fillId="0" borderId="0" pivotButton="0" quotePrefix="0" xfId="0"/>
  </cellXfs>
  <cellStyles count="1">
    <cellStyle name="Normal" xfId="0" builtinId="0" hidden="0"/>
  </cellStyles>
  <dxfs count="1">
    <dxf>
      <font>
        <b val="1"/>
        <color rgb="008A3B1F"/>
      </font>
      <fill>
        <patternFill patternType="solid">
          <fgColor rgb="00F3D9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1612"/>
    <outlinePr summaryBelow="1" summaryRight="1"/>
    <pageSetUpPr/>
  </sheetPr>
  <dimension ref="A2:F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4" customWidth="1" min="4" max="4"/>
    <col width="34" customWidth="1" min="5" max="5"/>
    <col width="20" customWidth="1" min="6" max="6"/>
  </cols>
  <sheetData>
    <row r="2" ht="34" customHeight="1">
      <c r="A2" s="1" t="inlineStr">
        <is>
          <t>28 Athabaska Avenue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Common Ground Initiative · development model · illustrative</t>
        </is>
      </c>
      <c r="B3" s="2" t="n"/>
      <c r="C3" s="2" t="n"/>
      <c r="D3" s="2" t="n"/>
      <c r="E3" s="2" t="n"/>
      <c r="F3" s="2" t="n"/>
    </row>
    <row r="4">
      <c r="B4" s="4" t="inlineStr">
        <is>
          <t>516 units · 43 storeys · North York, Toronto</t>
        </is>
      </c>
    </row>
    <row r="6" ht="20" customHeight="1">
      <c r="A6" s="5" t="inlineStr">
        <is>
          <t>HEADLINE METRICS</t>
        </is>
      </c>
      <c r="B6" s="6" t="n"/>
      <c r="C6" s="6" t="n"/>
      <c r="D6" s="6" t="n"/>
      <c r="E6" s="6" t="n"/>
      <c r="F6" s="6" t="n"/>
    </row>
    <row r="7">
      <c r="B7" s="7" t="inlineStr">
        <is>
          <t>Total development cost</t>
        </is>
      </c>
      <c r="C7" s="8">
        <f>Assumptions!$C$17</f>
        <v/>
      </c>
      <c r="E7" s="7" t="inlineStr">
        <is>
          <t>Stabilized NOI</t>
        </is>
      </c>
      <c r="F7" s="8">
        <f>(((((ROUND(Assumptions!$C$5*Assumptions!$C$10,0)*(Assumptions!$C$9*Assumptions!$C$11)+(Assumptions!$C$5-ROUND(Assumptions!$C$5*Assumptions!$C$10,0))*Assumptions!$C$9)*12)+Assumptions!$C$12)*(1-Assumptions!$C$13))-Assumptions!$C$14)</f>
        <v/>
      </c>
    </row>
    <row r="8">
      <c r="B8" s="7" t="inlineStr">
        <is>
          <t>DSCR</t>
        </is>
      </c>
      <c r="C8" s="9">
        <f>(((((ROUND(Assumptions!$C$5*Assumptions!$C$10,0)*(Assumptions!$C$9*Assumptions!$C$11)+(Assumptions!$C$5-ROUND(Assumptions!$C$5*Assumptions!$C$10,0))*Assumptions!$C$9)*12)+Assumptions!$C$12)*(1-Assumptions!$C$13))-Assumptions!$C$14)/(-PMT(Assumptions!$C$18/12,Assumptions!$C$19*12,(Assumptions!$C$17*Assumptions!$C$22))*12)</f>
        <v/>
      </c>
      <c r="E8" s="7" t="inlineStr">
        <is>
          <t>Loan-to-cost</t>
        </is>
      </c>
      <c r="F8" s="10">
        <f>(Assumptions!$C$17*Assumptions!$C$22)/Assumptions!$C$17</f>
        <v/>
      </c>
    </row>
    <row r="9">
      <c r="B9" s="7" t="inlineStr">
        <is>
          <t>CMHC mortgage</t>
        </is>
      </c>
      <c r="C9" s="8">
        <f>(Assumptions!$C$17*Assumptions!$C$22)</f>
        <v/>
      </c>
      <c r="E9" s="7" t="inlineStr">
        <is>
          <t>Forgivable (BCH) loan</t>
        </is>
      </c>
      <c r="F9" s="8">
        <f>Assumptions!$C$17*Assumptions!$C$21</f>
        <v/>
      </c>
    </row>
    <row r="11" ht="20" customHeight="1">
      <c r="A11" s="5" t="inlineStr">
        <is>
          <t>WHAT EACH PARTY GETS</t>
        </is>
      </c>
      <c r="B11" s="6" t="n"/>
      <c r="C11" s="6" t="n"/>
      <c r="D11" s="6" t="n"/>
      <c r="E11" s="6" t="n"/>
      <c r="F11" s="6" t="n"/>
    </row>
    <row r="12" ht="18" customHeight="1">
      <c r="A12" s="11" t="inlineStr">
        <is>
          <t>Party</t>
        </is>
      </c>
      <c r="B12" s="12" t="inlineStr">
        <is>
          <t>Puts in</t>
        </is>
      </c>
      <c r="C12" s="13" t="inlineStr">
        <is>
          <t>Gets out (20-yr)</t>
        </is>
      </c>
    </row>
    <row r="13">
      <c r="B13" s="14" t="inlineStr">
        <is>
          <t>Landowner</t>
        </is>
      </c>
      <c r="C13" s="7" t="inlineStr">
        <is>
          <t>The land (lease)</t>
        </is>
      </c>
      <c r="E13" s="15">
        <f>Returns!$C$8</f>
        <v/>
      </c>
    </row>
    <row r="14">
      <c r="B14" s="14" t="inlineStr">
        <is>
          <t>Non-profit operator</t>
        </is>
      </c>
      <c r="C14" s="7" t="inlineStr">
        <is>
          <t>$0 capital</t>
        </is>
      </c>
      <c r="E14" s="15">
        <f>Returns!$C$16</f>
        <v/>
      </c>
    </row>
    <row r="15">
      <c r="B15" s="14" t="inlineStr">
        <is>
          <t>Governments</t>
        </is>
      </c>
      <c r="C15" s="7" t="inlineStr">
        <is>
          <t>45% forgivable+municipal</t>
        </is>
      </c>
      <c r="E15" s="16" t="inlineStr">
        <is>
          <t>Housing + fiscal return</t>
        </is>
      </c>
    </row>
    <row r="16">
      <c r="B16" s="14" t="inlineStr">
        <is>
          <t>Residents</t>
        </is>
      </c>
      <c r="C16" s="7" t="inlineStr">
        <is>
          <t>—</t>
        </is>
      </c>
      <c r="E16" s="16" t="inlineStr">
        <is>
          <t>155 homes at 80% MMR</t>
        </is>
      </c>
    </row>
    <row r="18">
      <c r="B18" s="17" t="inlineStr">
        <is>
          <t>Ubuntu Land Trust &amp; Developments  ·  “I am because we are”</t>
        </is>
      </c>
    </row>
  </sheetData>
  <mergeCells count="9">
    <mergeCell ref="A2:F2"/>
    <mergeCell ref="A11:F11"/>
    <mergeCell ref="E16:F16"/>
    <mergeCell ref="E15:F15"/>
    <mergeCell ref="A6:F6"/>
    <mergeCell ref="E13:F13"/>
    <mergeCell ref="E14:F14"/>
    <mergeCell ref="A3:F3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1612"/>
    <outlinePr summaryBelow="1" summaryRight="1"/>
    <pageSetUpPr/>
  </sheetPr>
  <dimension ref="A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44" customWidth="1" min="4" max="4"/>
  </cols>
  <sheetData>
    <row r="2" ht="34" customHeight="1">
      <c r="A2" s="1" t="inlineStr">
        <is>
          <t>Assumptions</t>
        </is>
      </c>
      <c r="B2" s="2" t="n"/>
      <c r="C2" s="2" t="n"/>
      <c r="D2" s="2" t="n"/>
    </row>
    <row r="3" ht="18" customHeight="1">
      <c r="A3" s="3" t="inlineStr">
        <is>
          <t>Edit these inputs — every other tab recalculates</t>
        </is>
      </c>
      <c r="B3" s="2" t="n"/>
      <c r="C3" s="2" t="n"/>
      <c r="D3" s="2" t="n"/>
    </row>
    <row r="4" ht="20" customHeight="1">
      <c r="A4" s="5" t="inlineStr">
        <is>
          <t>PROGRAM</t>
        </is>
      </c>
      <c r="B4" s="6" t="n"/>
      <c r="C4" s="6" t="n"/>
      <c r="D4" s="6" t="n"/>
    </row>
    <row r="5">
      <c r="B5" s="18" t="inlineStr">
        <is>
          <t>Total units</t>
        </is>
      </c>
      <c r="C5" s="19" t="n">
        <v>516</v>
      </c>
      <c r="D5" s="20" t="inlineStr">
        <is>
          <t>From SPA/ZBA architectural set</t>
        </is>
      </c>
    </row>
    <row r="6">
      <c r="B6" s="18" t="inlineStr">
        <is>
          <t>Buildable GFA (sf)</t>
        </is>
      </c>
      <c r="C6" s="19" t="n">
        <v>410000</v>
      </c>
      <c r="D6" s="20" t="inlineStr">
        <is>
          <t>Estimate — confirm with architect</t>
        </is>
      </c>
    </row>
    <row r="7">
      <c r="B7" s="18" t="inlineStr">
        <is>
          <t>Land value ($/buildable sf)</t>
        </is>
      </c>
      <c r="C7" s="21" t="n">
        <v>100</v>
      </c>
      <c r="D7" s="20" t="inlineStr">
        <is>
          <t>Fully-approved North York comp</t>
        </is>
      </c>
    </row>
    <row r="8" ht="20" customHeight="1">
      <c r="A8" s="5" t="inlineStr">
        <is>
          <t>RENTS &amp; AFFORDABILITY</t>
        </is>
      </c>
      <c r="B8" s="6" t="n"/>
      <c r="C8" s="6" t="n"/>
      <c r="D8" s="6" t="n"/>
    </row>
    <row r="9">
      <c r="B9" s="18" t="inlineStr">
        <is>
          <t>Median market rent ($/mo)</t>
        </is>
      </c>
      <c r="C9" s="21" t="n">
        <v>2550</v>
      </c>
      <c r="D9" s="20" t="inlineStr">
        <is>
          <t>Blended market rent, all unit types</t>
        </is>
      </c>
    </row>
    <row r="10">
      <c r="B10" s="18" t="inlineStr">
        <is>
          <t>Affordable share of units</t>
        </is>
      </c>
      <c r="C10" s="22" t="n">
        <v>0.3</v>
      </c>
      <c r="D10" s="20" t="inlineStr">
        <is>
          <t>CMHC MLI Select affordability tier</t>
        </is>
      </c>
    </row>
    <row r="11">
      <c r="B11" s="18" t="inlineStr">
        <is>
          <t>Affordable rent (% of MMR)</t>
        </is>
      </c>
      <c r="C11" s="22" t="n">
        <v>0.8</v>
      </c>
      <c r="D11" s="20" t="inlineStr">
        <is>
          <t>80% of median market rent</t>
        </is>
      </c>
    </row>
    <row r="12">
      <c r="B12" s="18" t="inlineStr">
        <is>
          <t>Ancillary income ($/yr)</t>
        </is>
      </c>
      <c r="C12" s="21" t="n">
        <v>459200</v>
      </c>
      <c r="D12" s="20" t="inlineStr">
        <is>
          <t>Parking, lockers, other</t>
        </is>
      </c>
    </row>
    <row r="13">
      <c r="B13" s="18" t="inlineStr">
        <is>
          <t>Vacancy &amp; credit loss</t>
        </is>
      </c>
      <c r="C13" s="22" t="n">
        <v>0.03</v>
      </c>
    </row>
    <row r="14">
      <c r="B14" s="18" t="inlineStr">
        <is>
          <t>Operating expenses ($/yr)</t>
        </is>
      </c>
      <c r="C14" s="21" t="n">
        <v>5808000</v>
      </c>
      <c r="D14" s="20" t="inlineStr">
        <is>
          <t>~39% of EGI</t>
        </is>
      </c>
    </row>
    <row r="15">
      <c r="B15" s="18" t="inlineStr">
        <is>
          <t>NOI growth (annual)</t>
        </is>
      </c>
      <c r="C15" s="23" t="n">
        <v>0.0275</v>
      </c>
      <c r="D15" s="20" t="inlineStr">
        <is>
          <t>Rent/expense escalation</t>
        </is>
      </c>
    </row>
    <row r="16" ht="20" customHeight="1">
      <c r="A16" s="5" t="inlineStr">
        <is>
          <t>FINANCING</t>
        </is>
      </c>
      <c r="B16" s="6" t="n"/>
      <c r="C16" s="6" t="n"/>
      <c r="D16" s="6" t="n"/>
    </row>
    <row r="17">
      <c r="B17" s="18" t="inlineStr">
        <is>
          <t>Total development cost</t>
        </is>
      </c>
      <c r="C17" s="21" t="n">
        <v>328000000</v>
      </c>
      <c r="D17" s="20" t="inlineStr">
        <is>
          <t>~$636k/unit incl. land</t>
        </is>
      </c>
    </row>
    <row r="18">
      <c r="B18" s="18" t="inlineStr">
        <is>
          <t>Mortgage rate</t>
        </is>
      </c>
      <c r="C18" s="23" t="n">
        <v>0.0425</v>
      </c>
      <c r="D18" s="20" t="inlineStr">
        <is>
          <t>CMHC MLI Select, illustrative</t>
        </is>
      </c>
    </row>
    <row r="19">
      <c r="B19" s="18" t="inlineStr">
        <is>
          <t>Amortization (years)</t>
        </is>
      </c>
      <c r="C19" s="19" t="n">
        <v>50</v>
      </c>
      <c r="D19" s="20" t="inlineStr">
        <is>
          <t>MLI Select up to 50 yr</t>
        </is>
      </c>
    </row>
    <row r="20">
      <c r="B20" s="18" t="inlineStr">
        <is>
          <t>Cap rate</t>
        </is>
      </c>
      <c r="C20" s="23" t="n">
        <v>0.0425</v>
      </c>
      <c r="D20" s="20" t="inlineStr">
        <is>
          <t>For stabilized value</t>
        </is>
      </c>
    </row>
    <row r="21">
      <c r="B21" s="18" t="inlineStr">
        <is>
          <t>Capital stack — BCH (forgivable)</t>
        </is>
      </c>
      <c r="C21" s="22" t="n">
        <v>0.4</v>
      </c>
      <c r="D21" s="20" t="inlineStr">
        <is>
          <t>No payments</t>
        </is>
      </c>
    </row>
    <row r="22">
      <c r="B22" s="18" t="inlineStr">
        <is>
          <t>Capital stack — CMHC MLI Select</t>
        </is>
      </c>
      <c r="C22" s="22" t="n">
        <v>0.5</v>
      </c>
      <c r="D22" s="20" t="inlineStr">
        <is>
          <t>The mortgage</t>
        </is>
      </c>
    </row>
    <row r="23">
      <c r="B23" s="18" t="inlineStr">
        <is>
          <t>Capital stack — City of Toronto</t>
        </is>
      </c>
      <c r="C23" s="22" t="n">
        <v>0.05</v>
      </c>
      <c r="D23" s="20" t="inlineStr">
        <is>
          <t>Municipal contribution</t>
        </is>
      </c>
    </row>
    <row r="24">
      <c r="B24" s="18" t="inlineStr">
        <is>
          <t>Capital stack — Landowner equity</t>
        </is>
      </c>
      <c r="C24" s="22" t="n">
        <v>0.05</v>
      </c>
      <c r="D24" s="20" t="inlineStr">
        <is>
          <t>Retained land</t>
        </is>
      </c>
    </row>
    <row r="25" ht="20" customHeight="1">
      <c r="A25" s="5" t="inlineStr">
        <is>
          <t>DEAL TERMS</t>
        </is>
      </c>
      <c r="B25" s="6" t="n"/>
      <c r="C25" s="6" t="n"/>
      <c r="D25" s="6" t="n"/>
    </row>
    <row r="26">
      <c r="B26" s="18" t="inlineStr">
        <is>
          <t>Day-1 land draw (% of land value)</t>
        </is>
      </c>
      <c r="C26" s="22" t="n">
        <v>0.6</v>
      </c>
      <c r="D26" s="20" t="inlineStr">
        <is>
          <t>Cash to landowner at close</t>
        </is>
      </c>
    </row>
    <row r="27">
      <c r="B27" s="18" t="inlineStr">
        <is>
          <t>Landowner cash-flow share</t>
        </is>
      </c>
      <c r="C27" s="22" t="n">
        <v>0.6</v>
      </c>
      <c r="D27" s="20" t="inlineStr">
        <is>
          <t>Of net cash flow after debt</t>
        </is>
      </c>
    </row>
    <row r="28">
      <c r="B28" s="18" t="inlineStr">
        <is>
          <t>NFP cash-flow share</t>
        </is>
      </c>
      <c r="C28" s="22" t="n">
        <v>0.4</v>
      </c>
    </row>
    <row r="29">
      <c r="B29" s="18" t="inlineStr">
        <is>
          <t>Selling cost (if sold today)</t>
        </is>
      </c>
      <c r="C29" s="22" t="n">
        <v>0.05</v>
      </c>
    </row>
  </sheetData>
  <mergeCells count="6">
    <mergeCell ref="A8:D8"/>
    <mergeCell ref="A4:D4"/>
    <mergeCell ref="A3:D3"/>
    <mergeCell ref="A25:D25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1612"/>
    <outlinePr summaryBelow="1" summaryRight="1"/>
    <pageSetUpPr/>
  </sheetPr>
  <dimension ref="A2:D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6" customWidth="1" min="4" max="4"/>
    <col width="4" customWidth="1" min="5" max="5"/>
    <col width="2" customWidth="1" min="6" max="6"/>
  </cols>
  <sheetData>
    <row r="2" ht="34" customHeight="1">
      <c r="A2" s="1" t="inlineStr">
        <is>
          <t>Sources &amp; Uses</t>
        </is>
      </c>
      <c r="B2" s="2" t="n"/>
      <c r="C2" s="2" t="n"/>
      <c r="D2" s="2" t="n"/>
    </row>
    <row r="3" ht="18" customHeight="1">
      <c r="A3" s="3" t="inlineStr">
        <is>
          <t>Total development cost and how it is funded</t>
        </is>
      </c>
      <c r="B3" s="2" t="n"/>
      <c r="C3" s="2" t="n"/>
      <c r="D3" s="2" t="n"/>
    </row>
    <row r="4" ht="20" customHeight="1">
      <c r="A4" s="5" t="inlineStr">
        <is>
          <t>USES OF FUNDS</t>
        </is>
      </c>
      <c r="B4" s="6" t="n"/>
      <c r="C4" s="6" t="n"/>
      <c r="D4" s="6" t="n"/>
    </row>
    <row r="5" ht="18" customHeight="1">
      <c r="A5" s="11" t="inlineStr">
        <is>
          <t>Use</t>
        </is>
      </c>
      <c r="B5" s="13" t="inlineStr">
        <is>
          <t>Amount</t>
        </is>
      </c>
      <c r="C5" s="13" t="inlineStr">
        <is>
          <t>% of TDC</t>
        </is>
      </c>
    </row>
    <row r="6">
      <c r="B6" s="18" t="inlineStr">
        <is>
          <t>Land (full value)</t>
        </is>
      </c>
      <c r="C6" s="24">
        <f>(Assumptions!$C$6*Assumptions!$C$7)</f>
        <v/>
      </c>
      <c r="D6" s="25">
        <f>C6/Assumptions!$C$17</f>
        <v/>
      </c>
    </row>
    <row r="7">
      <c r="B7" s="18" t="inlineStr">
        <is>
          <t>Hard construction</t>
        </is>
      </c>
      <c r="C7" s="24" t="n">
        <v>186000000</v>
      </c>
      <c r="D7" s="25">
        <f>C7/Assumptions!$C$17</f>
        <v/>
      </c>
    </row>
    <row r="8">
      <c r="B8" s="18" t="inlineStr">
        <is>
          <t>Soft costs</t>
        </is>
      </c>
      <c r="C8" s="24" t="n">
        <v>60000000</v>
      </c>
      <c r="D8" s="25">
        <f>C8/Assumptions!$C$17</f>
        <v/>
      </c>
    </row>
    <row r="9">
      <c r="B9" s="18" t="inlineStr">
        <is>
          <t>Construction financing</t>
        </is>
      </c>
      <c r="C9" s="24" t="n">
        <v>26000000</v>
      </c>
      <c r="D9" s="25">
        <f>C9/Assumptions!$C$17</f>
        <v/>
      </c>
    </row>
    <row r="10">
      <c r="B10" s="18" t="inlineStr">
        <is>
          <t>Contingency</t>
        </is>
      </c>
      <c r="C10" s="24" t="n">
        <v>15000000</v>
      </c>
      <c r="D10" s="25">
        <f>C10/Assumptions!$C$17</f>
        <v/>
      </c>
    </row>
    <row r="11">
      <c r="B11" s="14" t="inlineStr">
        <is>
          <t>Total development cost</t>
        </is>
      </c>
      <c r="C11" s="26">
        <f>SUM(C6:C10)</f>
        <v/>
      </c>
      <c r="D11" s="27">
        <f>C11/Assumptions!$C$17</f>
        <v/>
      </c>
    </row>
    <row r="12">
      <c r="B12" s="20" t="inlineStr">
        <is>
          <t xml:space="preserve">  per unit</t>
        </is>
      </c>
      <c r="C12" s="24">
        <f>C11/Assumptions!$C$5</f>
        <v/>
      </c>
    </row>
    <row r="14" ht="20" customHeight="1">
      <c r="A14" s="5" t="inlineStr">
        <is>
          <t>SOURCES OF FUNDS</t>
        </is>
      </c>
      <c r="B14" s="6" t="n"/>
      <c r="C14" s="6" t="n"/>
      <c r="D14" s="6" t="n"/>
    </row>
    <row r="15" ht="18" customHeight="1">
      <c r="A15" s="11" t="inlineStr">
        <is>
          <t>Source</t>
        </is>
      </c>
      <c r="B15" s="13" t="inlineStr">
        <is>
          <t>Amount</t>
        </is>
      </c>
      <c r="C15" s="13" t="inlineStr">
        <is>
          <t>% of TDC</t>
        </is>
      </c>
    </row>
    <row r="16">
      <c r="B16" s="18" t="inlineStr">
        <is>
          <t>Build Canada Homes (forgivable)</t>
        </is>
      </c>
      <c r="C16" s="24">
        <f>Assumptions!$C$17*Assumptions!$C$21</f>
        <v/>
      </c>
      <c r="D16" s="28">
        <f>Assumptions!$C$21</f>
        <v/>
      </c>
    </row>
    <row r="17">
      <c r="B17" s="18" t="inlineStr">
        <is>
          <t>CMHC MLI Select mortgage</t>
        </is>
      </c>
      <c r="C17" s="24">
        <f>Assumptions!$C$17*Assumptions!$C$22</f>
        <v/>
      </c>
      <c r="D17" s="28">
        <f>Assumptions!$C$22</f>
        <v/>
      </c>
    </row>
    <row r="18">
      <c r="B18" s="18" t="inlineStr">
        <is>
          <t>City of Toronto</t>
        </is>
      </c>
      <c r="C18" s="24">
        <f>Assumptions!$C$17*Assumptions!$C$23</f>
        <v/>
      </c>
      <c r="D18" s="28">
        <f>Assumptions!$C$23</f>
        <v/>
      </c>
    </row>
    <row r="19">
      <c r="B19" s="18" t="inlineStr">
        <is>
          <t>Landowner equity (land)</t>
        </is>
      </c>
      <c r="C19" s="24">
        <f>Assumptions!$C$17*Assumptions!$C$24</f>
        <v/>
      </c>
      <c r="D19" s="28">
        <f>Assumptions!$C$24</f>
        <v/>
      </c>
    </row>
    <row r="20">
      <c r="B20" s="14" t="inlineStr">
        <is>
          <t>Total sources</t>
        </is>
      </c>
      <c r="C20" s="26">
        <f>SUM(C16:C19)</f>
        <v/>
      </c>
      <c r="D20" s="27">
        <f>SUM(D16:D19)</f>
        <v/>
      </c>
    </row>
  </sheetData>
  <mergeCells count="4">
    <mergeCell ref="A14:D14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1612"/>
    <outlinePr summaryBelow="1" summaryRight="1"/>
    <pageSetUpPr/>
  </sheetPr>
  <dimension ref="A2:D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20" customWidth="1" min="4" max="4"/>
    <col width="2" customWidth="1" min="5" max="5"/>
  </cols>
  <sheetData>
    <row r="2" ht="34" customHeight="1">
      <c r="A2" s="1" t="inlineStr">
        <is>
          <t>Stabilized Operating Pro Forma</t>
        </is>
      </c>
      <c r="B2" s="2" t="n"/>
      <c r="C2" s="2" t="n"/>
      <c r="D2" s="2" t="n"/>
    </row>
    <row r="3" ht="18" customHeight="1">
      <c r="A3" s="3" t="inlineStr">
        <is>
          <t>Year-1 stabilized · 30% of units at 80% of median market rent</t>
        </is>
      </c>
      <c r="B3" s="2" t="n"/>
      <c r="C3" s="2" t="n"/>
      <c r="D3" s="2" t="n"/>
    </row>
    <row r="4" ht="18" customHeight="1">
      <c r="A4" s="11" t="inlineStr">
        <is>
          <t>Line</t>
        </is>
      </c>
      <c r="B4" s="13" t="inlineStr">
        <is>
          <t>Basis</t>
        </is>
      </c>
      <c r="C4" s="13" t="inlineStr">
        <is>
          <t>Annual</t>
        </is>
      </c>
    </row>
    <row r="5">
      <c r="B5" s="18" t="inlineStr">
        <is>
          <t>Market rent revenue</t>
        </is>
      </c>
      <c r="C5" s="20">
        <f>(Assumptions!$C$5-ROUND(Assumptions!$C$5*Assumptions!$C$10,0)) units × MMR × 12</f>
        <v/>
      </c>
      <c r="D5" s="24">
        <f>(Assumptions!$C$5-ROUND(Assumptions!$C$5*Assumptions!$C$10,0))*Assumptions!$C$9*12</f>
        <v/>
      </c>
    </row>
    <row r="6">
      <c r="B6" s="18" t="inlineStr">
        <is>
          <t>Affordable rent revenue</t>
        </is>
      </c>
      <c r="C6" s="20">
        <f>ROUND(Assumptions!$C$5*Assumptions!$C$10,0) units × 80% MMR × 12</f>
        <v/>
      </c>
      <c r="D6" s="24">
        <f>ROUND(Assumptions!$C$5*Assumptions!$C$10,0)*(Assumptions!$C$9*Assumptions!$C$11)*12</f>
        <v/>
      </c>
    </row>
    <row r="7">
      <c r="B7" s="18" t="inlineStr">
        <is>
          <t>Ancillary income</t>
        </is>
      </c>
      <c r="C7" s="20" t="inlineStr">
        <is>
          <t>parking/lockers/other</t>
        </is>
      </c>
      <c r="D7" s="24">
        <f>Assumptions!$C$12</f>
        <v/>
      </c>
    </row>
    <row r="8">
      <c r="B8" s="29" t="inlineStr">
        <is>
          <t>Gross potential income</t>
        </is>
      </c>
      <c r="C8" s="30" t="inlineStr"/>
      <c r="D8" s="31">
        <f>(((ROUND(Assumptions!$C$5*Assumptions!$C$10,0)*(Assumptions!$C$9*Assumptions!$C$11)+(Assumptions!$C$5-ROUND(Assumptions!$C$5*Assumptions!$C$10,0))*Assumptions!$C$9)*12)+Assumptions!$C$12)</f>
        <v/>
      </c>
    </row>
    <row r="9">
      <c r="B9" s="18" t="inlineStr">
        <is>
          <t>Vacancy &amp; credit loss</t>
        </is>
      </c>
      <c r="C9" s="20" t="inlineStr"/>
      <c r="D9" s="24">
        <f>-(((ROUND(Assumptions!$C$5*Assumptions!$C$10,0)*(Assumptions!$C$9*Assumptions!$C$11)+(Assumptions!$C$5-ROUND(Assumptions!$C$5*Assumptions!$C$10,0))*Assumptions!$C$9)*12)+Assumptions!$C$12)*Assumptions!$C$13</f>
        <v/>
      </c>
    </row>
    <row r="10">
      <c r="B10" s="29" t="inlineStr">
        <is>
          <t>Effective gross income</t>
        </is>
      </c>
      <c r="C10" s="30" t="inlineStr"/>
      <c r="D10" s="31">
        <f>((((ROUND(Assumptions!$C$5*Assumptions!$C$10,0)*(Assumptions!$C$9*Assumptions!$C$11)+(Assumptions!$C$5-ROUND(Assumptions!$C$5*Assumptions!$C$10,0))*Assumptions!$C$9)*12)+Assumptions!$C$12)*(1-Assumptions!$C$13))</f>
        <v/>
      </c>
    </row>
    <row r="11">
      <c r="B11" s="18" t="inlineStr">
        <is>
          <t>Operating expenses</t>
        </is>
      </c>
      <c r="C11" s="20" t="inlineStr">
        <is>
          <t>~39% of EGI</t>
        </is>
      </c>
      <c r="D11" s="24">
        <f>-Assumptions!$C$14</f>
        <v/>
      </c>
    </row>
    <row r="12">
      <c r="B12" s="32" t="inlineStr">
        <is>
          <t>Net operating income</t>
        </is>
      </c>
      <c r="C12" s="33" t="inlineStr"/>
      <c r="D12" s="26">
        <f>(((((ROUND(Assumptions!$C$5*Assumptions!$C$10,0)*(Assumptions!$C$9*Assumptions!$C$11)+(Assumptions!$C$5-ROUND(Assumptions!$C$5*Assumptions!$C$10,0))*Assumptions!$C$9)*12)+Assumptions!$C$12)*(1-Assumptions!$C$13))-Assumptions!$C$14)</f>
        <v/>
      </c>
    </row>
    <row r="14" ht="20" customHeight="1">
      <c r="A14" s="5" t="inlineStr">
        <is>
          <t>COVERAGE</t>
        </is>
      </c>
      <c r="B14" s="6" t="n"/>
      <c r="C14" s="6" t="n"/>
      <c r="D14" s="6" t="n"/>
    </row>
    <row r="15" ht="18" customHeight="1">
      <c r="A15" s="11" t="inlineStr">
        <is>
          <t>Metric</t>
        </is>
      </c>
      <c r="B15" s="13" t="inlineStr"/>
      <c r="C15" s="13" t="inlineStr">
        <is>
          <t>Value</t>
        </is>
      </c>
    </row>
    <row r="16">
      <c r="B16" s="18" t="inlineStr">
        <is>
          <t>Mortgage (CMHC, 50% of TDC)</t>
        </is>
      </c>
      <c r="D16" s="34">
        <f>(Assumptions!$C$17*Assumptions!$C$22)</f>
        <v/>
      </c>
    </row>
    <row r="17">
      <c r="B17" s="18" t="inlineStr">
        <is>
          <t>Annual debt service</t>
        </is>
      </c>
      <c r="D17" s="34">
        <f>(-PMT(Assumptions!$C$18/12,Assumptions!$C$19*12,(Assumptions!$C$17*Assumptions!$C$22))*12)</f>
        <v/>
      </c>
    </row>
    <row r="18">
      <c r="B18" s="18" t="inlineStr">
        <is>
          <t>DSCR</t>
        </is>
      </c>
      <c r="D18" s="35">
        <f>(((((ROUND(Assumptions!$C$5*Assumptions!$C$10,0)*(Assumptions!$C$9*Assumptions!$C$11)+(Assumptions!$C$5-ROUND(Assumptions!$C$5*Assumptions!$C$10,0))*Assumptions!$C$9)*12)+Assumptions!$C$12)*(1-Assumptions!$C$13))-Assumptions!$C$14)/(-PMT(Assumptions!$C$18/12,Assumptions!$C$19*12,(Assumptions!$C$17*Assumptions!$C$22))*12)</f>
        <v/>
      </c>
    </row>
    <row r="19">
      <c r="B19" s="18" t="inlineStr">
        <is>
          <t>Net cash flow after debt</t>
        </is>
      </c>
      <c r="D19" s="34">
        <f>(((((ROUND(Assumptions!$C$5*Assumptions!$C$10,0)*(Assumptions!$C$9*Assumptions!$C$11)+(Assumptions!$C$5-ROUND(Assumptions!$C$5*Assumptions!$C$10,0))*Assumptions!$C$9)*12)+Assumptions!$C$12)*(1-Assumptions!$C$13))-Assumptions!$C$14)-(-PMT(Assumptions!$C$18/12,Assumptions!$C$19*12,(Assumptions!$C$17*Assumptions!$C$22))*12)</f>
        <v/>
      </c>
    </row>
    <row r="20">
      <c r="B20" s="18" t="inlineStr">
        <is>
          <t>Stabilized value (cap rate)</t>
        </is>
      </c>
      <c r="D20" s="34">
        <f>(((((ROUND(Assumptions!$C$5*Assumptions!$C$10,0)*(Assumptions!$C$9*Assumptions!$C$11)+(Assumptions!$C$5-ROUND(Assumptions!$C$5*Assumptions!$C$10,0))*Assumptions!$C$9)*12)+Assumptions!$C$12)*(1-Assumptions!$C$13))-Assumptions!$C$14)/Assumptions!$C$20</f>
        <v/>
      </c>
    </row>
    <row r="21">
      <c r="B21" s="18" t="inlineStr">
        <is>
          <t>Loan-to-value</t>
        </is>
      </c>
      <c r="D21" s="36">
        <f>(Assumptions!$C$17*Assumptions!$C$22)/((((((ROUND(Assumptions!$C$5*Assumptions!$C$10,0)*(Assumptions!$C$9*Assumptions!$C$11)+(Assumptions!$C$5-ROUND(Assumptions!$C$5*Assumptions!$C$10,0))*Assumptions!$C$9)*12)+Assumptions!$C$12)*(1-Assumptions!$C$13))-Assumptions!$C$14)/Assumptions!$C$20)</f>
        <v/>
      </c>
    </row>
    <row r="22">
      <c r="B22" s="18" t="inlineStr">
        <is>
          <t>Break-even occupancy</t>
        </is>
      </c>
      <c r="D22" s="36">
        <f>(Assumptions!$C$14+(-PMT(Assumptions!$C$18/12,Assumptions!$C$19*12,(Assumptions!$C$17*Assumptions!$C$22))*12))/(((ROUND(Assumptions!$C$5*Assumptions!$C$10,0)*(Assumptions!$C$9*Assumptions!$C$11)+(Assumptions!$C$5-ROUND(Assumptions!$C$5*Assumptions!$C$10,0))*Assumptions!$C$9)*12)+Assumptions!$C$12)</f>
        <v/>
      </c>
    </row>
  </sheetData>
  <mergeCells count="3">
    <mergeCell ref="A14:D1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1612"/>
    <outlinePr summaryBelow="1" summaryRight="1"/>
    <pageSetUpPr/>
  </sheetPr>
  <dimension ref="A2:H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4" customHeight="1">
      <c r="A2" s="1" t="inlineStr">
        <is>
          <t>20-Year Cash Flow</t>
        </is>
      </c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NOI grows; one fixed mortgage; net cash flow split 60% landowner / 40% NFP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11" t="inlineStr">
        <is>
          <t>Year</t>
        </is>
      </c>
      <c r="B4" s="13" t="inlineStr">
        <is>
          <t>NOI</t>
        </is>
      </c>
      <c r="C4" s="13" t="inlineStr">
        <is>
          <t>Debt service</t>
        </is>
      </c>
      <c r="D4" s="13" t="inlineStr">
        <is>
          <t>Net cash flow</t>
        </is>
      </c>
      <c r="E4" s="13" t="inlineStr">
        <is>
          <t>Landowner 60%</t>
        </is>
      </c>
      <c r="F4" s="13" t="inlineStr">
        <is>
          <t>NFP 40%</t>
        </is>
      </c>
      <c r="G4" s="13" t="inlineStr">
        <is>
          <t>Mortgage bal.</t>
        </is>
      </c>
    </row>
    <row r="5">
      <c r="B5" s="37" t="n">
        <v>1</v>
      </c>
      <c r="C5" s="24">
        <f>(((((ROUND(Assumptions!$C$5*Assumptions!$C$10,0)*(Assumptions!$C$9*Assumptions!$C$11)+(Assumptions!$C$5-ROUND(Assumptions!$C$5*Assumptions!$C$10,0))*Assumptions!$C$9)*12)+Assumptions!$C$12)*(1-Assumptions!$C$13))-Assumptions!$C$14)*(1+Assumptions!$C$15)^(1-1)</f>
        <v/>
      </c>
      <c r="D5" s="24">
        <f>-(-PMT(Assumptions!$C$18/12,Assumptions!$C$19*12,(Assumptions!$C$17*Assumptions!$C$22))*12)</f>
        <v/>
      </c>
      <c r="E5" s="24">
        <f>C5+D5</f>
        <v/>
      </c>
      <c r="F5" s="24">
        <f>E5*Assumptions!$C$27</f>
        <v/>
      </c>
      <c r="G5" s="24">
        <f>E5*Assumptions!$C$28</f>
        <v/>
      </c>
      <c r="H5" s="24">
        <f>(Assumptions!$C$17*Assumptions!$C$22)*(((1+Assumptions!$C$18/12)^(Assumptions!$C$19*12)-(1+Assumptions!$C$18/12)^(1*12))/((1+Assumptions!$C$18/12)^(Assumptions!$C$19*12)-1))</f>
        <v/>
      </c>
    </row>
    <row r="6">
      <c r="B6" s="38" t="n">
        <v>2</v>
      </c>
      <c r="C6" s="39">
        <f>(((((ROUND(Assumptions!$C$5*Assumptions!$C$10,0)*(Assumptions!$C$9*Assumptions!$C$11)+(Assumptions!$C$5-ROUND(Assumptions!$C$5*Assumptions!$C$10,0))*Assumptions!$C$9)*12)+Assumptions!$C$12)*(1-Assumptions!$C$13))-Assumptions!$C$14)*(1+Assumptions!$C$15)^(2-1)</f>
        <v/>
      </c>
      <c r="D6" s="39">
        <f>-(-PMT(Assumptions!$C$18/12,Assumptions!$C$19*12,(Assumptions!$C$17*Assumptions!$C$22))*12)</f>
        <v/>
      </c>
      <c r="E6" s="39">
        <f>C6+D6</f>
        <v/>
      </c>
      <c r="F6" s="39">
        <f>E6*Assumptions!$C$27</f>
        <v/>
      </c>
      <c r="G6" s="39">
        <f>E6*Assumptions!$C$28</f>
        <v/>
      </c>
      <c r="H6" s="39">
        <f>(Assumptions!$C$17*Assumptions!$C$22)*(((1+Assumptions!$C$18/12)^(Assumptions!$C$19*12)-(1+Assumptions!$C$18/12)^(2*12))/((1+Assumptions!$C$18/12)^(Assumptions!$C$19*12)-1))</f>
        <v/>
      </c>
    </row>
    <row r="7">
      <c r="B7" s="37" t="n">
        <v>3</v>
      </c>
      <c r="C7" s="24">
        <f>(((((ROUND(Assumptions!$C$5*Assumptions!$C$10,0)*(Assumptions!$C$9*Assumptions!$C$11)+(Assumptions!$C$5-ROUND(Assumptions!$C$5*Assumptions!$C$10,0))*Assumptions!$C$9)*12)+Assumptions!$C$12)*(1-Assumptions!$C$13))-Assumptions!$C$14)*(1+Assumptions!$C$15)^(3-1)</f>
        <v/>
      </c>
      <c r="D7" s="24">
        <f>-(-PMT(Assumptions!$C$18/12,Assumptions!$C$19*12,(Assumptions!$C$17*Assumptions!$C$22))*12)</f>
        <v/>
      </c>
      <c r="E7" s="24">
        <f>C7+D7</f>
        <v/>
      </c>
      <c r="F7" s="24">
        <f>E7*Assumptions!$C$27</f>
        <v/>
      </c>
      <c r="G7" s="24">
        <f>E7*Assumptions!$C$28</f>
        <v/>
      </c>
      <c r="H7" s="24">
        <f>(Assumptions!$C$17*Assumptions!$C$22)*(((1+Assumptions!$C$18/12)^(Assumptions!$C$19*12)-(1+Assumptions!$C$18/12)^(3*12))/((1+Assumptions!$C$18/12)^(Assumptions!$C$19*12)-1))</f>
        <v/>
      </c>
    </row>
    <row r="8">
      <c r="B8" s="38" t="n">
        <v>4</v>
      </c>
      <c r="C8" s="39">
        <f>(((((ROUND(Assumptions!$C$5*Assumptions!$C$10,0)*(Assumptions!$C$9*Assumptions!$C$11)+(Assumptions!$C$5-ROUND(Assumptions!$C$5*Assumptions!$C$10,0))*Assumptions!$C$9)*12)+Assumptions!$C$12)*(1-Assumptions!$C$13))-Assumptions!$C$14)*(1+Assumptions!$C$15)^(4-1)</f>
        <v/>
      </c>
      <c r="D8" s="39">
        <f>-(-PMT(Assumptions!$C$18/12,Assumptions!$C$19*12,(Assumptions!$C$17*Assumptions!$C$22))*12)</f>
        <v/>
      </c>
      <c r="E8" s="39">
        <f>C8+D8</f>
        <v/>
      </c>
      <c r="F8" s="39">
        <f>E8*Assumptions!$C$27</f>
        <v/>
      </c>
      <c r="G8" s="39">
        <f>E8*Assumptions!$C$28</f>
        <v/>
      </c>
      <c r="H8" s="39">
        <f>(Assumptions!$C$17*Assumptions!$C$22)*(((1+Assumptions!$C$18/12)^(Assumptions!$C$19*12)-(1+Assumptions!$C$18/12)^(4*12))/((1+Assumptions!$C$18/12)^(Assumptions!$C$19*12)-1))</f>
        <v/>
      </c>
    </row>
    <row r="9">
      <c r="B9" s="37" t="n">
        <v>5</v>
      </c>
      <c r="C9" s="24">
        <f>(((((ROUND(Assumptions!$C$5*Assumptions!$C$10,0)*(Assumptions!$C$9*Assumptions!$C$11)+(Assumptions!$C$5-ROUND(Assumptions!$C$5*Assumptions!$C$10,0))*Assumptions!$C$9)*12)+Assumptions!$C$12)*(1-Assumptions!$C$13))-Assumptions!$C$14)*(1+Assumptions!$C$15)^(5-1)</f>
        <v/>
      </c>
      <c r="D9" s="24">
        <f>-(-PMT(Assumptions!$C$18/12,Assumptions!$C$19*12,(Assumptions!$C$17*Assumptions!$C$22))*12)</f>
        <v/>
      </c>
      <c r="E9" s="24">
        <f>C9+D9</f>
        <v/>
      </c>
      <c r="F9" s="24">
        <f>E9*Assumptions!$C$27</f>
        <v/>
      </c>
      <c r="G9" s="24">
        <f>E9*Assumptions!$C$28</f>
        <v/>
      </c>
      <c r="H9" s="24">
        <f>(Assumptions!$C$17*Assumptions!$C$22)*(((1+Assumptions!$C$18/12)^(Assumptions!$C$19*12)-(1+Assumptions!$C$18/12)^(5*12))/((1+Assumptions!$C$18/12)^(Assumptions!$C$19*12)-1))</f>
        <v/>
      </c>
    </row>
    <row r="10">
      <c r="B10" s="38" t="n">
        <v>6</v>
      </c>
      <c r="C10" s="39">
        <f>(((((ROUND(Assumptions!$C$5*Assumptions!$C$10,0)*(Assumptions!$C$9*Assumptions!$C$11)+(Assumptions!$C$5-ROUND(Assumptions!$C$5*Assumptions!$C$10,0))*Assumptions!$C$9)*12)+Assumptions!$C$12)*(1-Assumptions!$C$13))-Assumptions!$C$14)*(1+Assumptions!$C$15)^(6-1)</f>
        <v/>
      </c>
      <c r="D10" s="39">
        <f>-(-PMT(Assumptions!$C$18/12,Assumptions!$C$19*12,(Assumptions!$C$17*Assumptions!$C$22))*12)</f>
        <v/>
      </c>
      <c r="E10" s="39">
        <f>C10+D10</f>
        <v/>
      </c>
      <c r="F10" s="39">
        <f>E10*Assumptions!$C$27</f>
        <v/>
      </c>
      <c r="G10" s="39">
        <f>E10*Assumptions!$C$28</f>
        <v/>
      </c>
      <c r="H10" s="39">
        <f>(Assumptions!$C$17*Assumptions!$C$22)*(((1+Assumptions!$C$18/12)^(Assumptions!$C$19*12)-(1+Assumptions!$C$18/12)^(6*12))/((1+Assumptions!$C$18/12)^(Assumptions!$C$19*12)-1))</f>
        <v/>
      </c>
    </row>
    <row r="11">
      <c r="B11" s="37" t="n">
        <v>7</v>
      </c>
      <c r="C11" s="24">
        <f>(((((ROUND(Assumptions!$C$5*Assumptions!$C$10,0)*(Assumptions!$C$9*Assumptions!$C$11)+(Assumptions!$C$5-ROUND(Assumptions!$C$5*Assumptions!$C$10,0))*Assumptions!$C$9)*12)+Assumptions!$C$12)*(1-Assumptions!$C$13))-Assumptions!$C$14)*(1+Assumptions!$C$15)^(7-1)</f>
        <v/>
      </c>
      <c r="D11" s="24">
        <f>-(-PMT(Assumptions!$C$18/12,Assumptions!$C$19*12,(Assumptions!$C$17*Assumptions!$C$22))*12)</f>
        <v/>
      </c>
      <c r="E11" s="24">
        <f>C11+D11</f>
        <v/>
      </c>
      <c r="F11" s="24">
        <f>E11*Assumptions!$C$27</f>
        <v/>
      </c>
      <c r="G11" s="24">
        <f>E11*Assumptions!$C$28</f>
        <v/>
      </c>
      <c r="H11" s="24">
        <f>(Assumptions!$C$17*Assumptions!$C$22)*(((1+Assumptions!$C$18/12)^(Assumptions!$C$19*12)-(1+Assumptions!$C$18/12)^(7*12))/((1+Assumptions!$C$18/12)^(Assumptions!$C$19*12)-1))</f>
        <v/>
      </c>
    </row>
    <row r="12">
      <c r="B12" s="38" t="n">
        <v>8</v>
      </c>
      <c r="C12" s="39">
        <f>(((((ROUND(Assumptions!$C$5*Assumptions!$C$10,0)*(Assumptions!$C$9*Assumptions!$C$11)+(Assumptions!$C$5-ROUND(Assumptions!$C$5*Assumptions!$C$10,0))*Assumptions!$C$9)*12)+Assumptions!$C$12)*(1-Assumptions!$C$13))-Assumptions!$C$14)*(1+Assumptions!$C$15)^(8-1)</f>
        <v/>
      </c>
      <c r="D12" s="39">
        <f>-(-PMT(Assumptions!$C$18/12,Assumptions!$C$19*12,(Assumptions!$C$17*Assumptions!$C$22))*12)</f>
        <v/>
      </c>
      <c r="E12" s="39">
        <f>C12+D12</f>
        <v/>
      </c>
      <c r="F12" s="39">
        <f>E12*Assumptions!$C$27</f>
        <v/>
      </c>
      <c r="G12" s="39">
        <f>E12*Assumptions!$C$28</f>
        <v/>
      </c>
      <c r="H12" s="39">
        <f>(Assumptions!$C$17*Assumptions!$C$22)*(((1+Assumptions!$C$18/12)^(Assumptions!$C$19*12)-(1+Assumptions!$C$18/12)^(8*12))/((1+Assumptions!$C$18/12)^(Assumptions!$C$19*12)-1))</f>
        <v/>
      </c>
    </row>
    <row r="13">
      <c r="B13" s="37" t="n">
        <v>9</v>
      </c>
      <c r="C13" s="24">
        <f>(((((ROUND(Assumptions!$C$5*Assumptions!$C$10,0)*(Assumptions!$C$9*Assumptions!$C$11)+(Assumptions!$C$5-ROUND(Assumptions!$C$5*Assumptions!$C$10,0))*Assumptions!$C$9)*12)+Assumptions!$C$12)*(1-Assumptions!$C$13))-Assumptions!$C$14)*(1+Assumptions!$C$15)^(9-1)</f>
        <v/>
      </c>
      <c r="D13" s="24">
        <f>-(-PMT(Assumptions!$C$18/12,Assumptions!$C$19*12,(Assumptions!$C$17*Assumptions!$C$22))*12)</f>
        <v/>
      </c>
      <c r="E13" s="24">
        <f>C13+D13</f>
        <v/>
      </c>
      <c r="F13" s="24">
        <f>E13*Assumptions!$C$27</f>
        <v/>
      </c>
      <c r="G13" s="24">
        <f>E13*Assumptions!$C$28</f>
        <v/>
      </c>
      <c r="H13" s="24">
        <f>(Assumptions!$C$17*Assumptions!$C$22)*(((1+Assumptions!$C$18/12)^(Assumptions!$C$19*12)-(1+Assumptions!$C$18/12)^(9*12))/((1+Assumptions!$C$18/12)^(Assumptions!$C$19*12)-1))</f>
        <v/>
      </c>
    </row>
    <row r="14">
      <c r="B14" s="38" t="n">
        <v>10</v>
      </c>
      <c r="C14" s="39">
        <f>(((((ROUND(Assumptions!$C$5*Assumptions!$C$10,0)*(Assumptions!$C$9*Assumptions!$C$11)+(Assumptions!$C$5-ROUND(Assumptions!$C$5*Assumptions!$C$10,0))*Assumptions!$C$9)*12)+Assumptions!$C$12)*(1-Assumptions!$C$13))-Assumptions!$C$14)*(1+Assumptions!$C$15)^(10-1)</f>
        <v/>
      </c>
      <c r="D14" s="39">
        <f>-(-PMT(Assumptions!$C$18/12,Assumptions!$C$19*12,(Assumptions!$C$17*Assumptions!$C$22))*12)</f>
        <v/>
      </c>
      <c r="E14" s="39">
        <f>C14+D14</f>
        <v/>
      </c>
      <c r="F14" s="39">
        <f>E14*Assumptions!$C$27</f>
        <v/>
      </c>
      <c r="G14" s="39">
        <f>E14*Assumptions!$C$28</f>
        <v/>
      </c>
      <c r="H14" s="39">
        <f>(Assumptions!$C$17*Assumptions!$C$22)*(((1+Assumptions!$C$18/12)^(Assumptions!$C$19*12)-(1+Assumptions!$C$18/12)^(10*12))/((1+Assumptions!$C$18/12)^(Assumptions!$C$19*12)-1))</f>
        <v/>
      </c>
    </row>
    <row r="15">
      <c r="B15" s="37" t="n">
        <v>11</v>
      </c>
      <c r="C15" s="24">
        <f>(((((ROUND(Assumptions!$C$5*Assumptions!$C$10,0)*(Assumptions!$C$9*Assumptions!$C$11)+(Assumptions!$C$5-ROUND(Assumptions!$C$5*Assumptions!$C$10,0))*Assumptions!$C$9)*12)+Assumptions!$C$12)*(1-Assumptions!$C$13))-Assumptions!$C$14)*(1+Assumptions!$C$15)^(11-1)</f>
        <v/>
      </c>
      <c r="D15" s="24">
        <f>-(-PMT(Assumptions!$C$18/12,Assumptions!$C$19*12,(Assumptions!$C$17*Assumptions!$C$22))*12)</f>
        <v/>
      </c>
      <c r="E15" s="24">
        <f>C15+D15</f>
        <v/>
      </c>
      <c r="F15" s="24">
        <f>E15*Assumptions!$C$27</f>
        <v/>
      </c>
      <c r="G15" s="24">
        <f>E15*Assumptions!$C$28</f>
        <v/>
      </c>
      <c r="H15" s="24">
        <f>(Assumptions!$C$17*Assumptions!$C$22)*(((1+Assumptions!$C$18/12)^(Assumptions!$C$19*12)-(1+Assumptions!$C$18/12)^(11*12))/((1+Assumptions!$C$18/12)^(Assumptions!$C$19*12)-1))</f>
        <v/>
      </c>
    </row>
    <row r="16">
      <c r="B16" s="38" t="n">
        <v>12</v>
      </c>
      <c r="C16" s="39">
        <f>(((((ROUND(Assumptions!$C$5*Assumptions!$C$10,0)*(Assumptions!$C$9*Assumptions!$C$11)+(Assumptions!$C$5-ROUND(Assumptions!$C$5*Assumptions!$C$10,0))*Assumptions!$C$9)*12)+Assumptions!$C$12)*(1-Assumptions!$C$13))-Assumptions!$C$14)*(1+Assumptions!$C$15)^(12-1)</f>
        <v/>
      </c>
      <c r="D16" s="39">
        <f>-(-PMT(Assumptions!$C$18/12,Assumptions!$C$19*12,(Assumptions!$C$17*Assumptions!$C$22))*12)</f>
        <v/>
      </c>
      <c r="E16" s="39">
        <f>C16+D16</f>
        <v/>
      </c>
      <c r="F16" s="39">
        <f>E16*Assumptions!$C$27</f>
        <v/>
      </c>
      <c r="G16" s="39">
        <f>E16*Assumptions!$C$28</f>
        <v/>
      </c>
      <c r="H16" s="39">
        <f>(Assumptions!$C$17*Assumptions!$C$22)*(((1+Assumptions!$C$18/12)^(Assumptions!$C$19*12)-(1+Assumptions!$C$18/12)^(12*12))/((1+Assumptions!$C$18/12)^(Assumptions!$C$19*12)-1))</f>
        <v/>
      </c>
    </row>
    <row r="17">
      <c r="B17" s="37" t="n">
        <v>13</v>
      </c>
      <c r="C17" s="24">
        <f>(((((ROUND(Assumptions!$C$5*Assumptions!$C$10,0)*(Assumptions!$C$9*Assumptions!$C$11)+(Assumptions!$C$5-ROUND(Assumptions!$C$5*Assumptions!$C$10,0))*Assumptions!$C$9)*12)+Assumptions!$C$12)*(1-Assumptions!$C$13))-Assumptions!$C$14)*(1+Assumptions!$C$15)^(13-1)</f>
        <v/>
      </c>
      <c r="D17" s="24">
        <f>-(-PMT(Assumptions!$C$18/12,Assumptions!$C$19*12,(Assumptions!$C$17*Assumptions!$C$22))*12)</f>
        <v/>
      </c>
      <c r="E17" s="24">
        <f>C17+D17</f>
        <v/>
      </c>
      <c r="F17" s="24">
        <f>E17*Assumptions!$C$27</f>
        <v/>
      </c>
      <c r="G17" s="24">
        <f>E17*Assumptions!$C$28</f>
        <v/>
      </c>
      <c r="H17" s="24">
        <f>(Assumptions!$C$17*Assumptions!$C$22)*(((1+Assumptions!$C$18/12)^(Assumptions!$C$19*12)-(1+Assumptions!$C$18/12)^(13*12))/((1+Assumptions!$C$18/12)^(Assumptions!$C$19*12)-1))</f>
        <v/>
      </c>
    </row>
    <row r="18">
      <c r="B18" s="38" t="n">
        <v>14</v>
      </c>
      <c r="C18" s="39">
        <f>(((((ROUND(Assumptions!$C$5*Assumptions!$C$10,0)*(Assumptions!$C$9*Assumptions!$C$11)+(Assumptions!$C$5-ROUND(Assumptions!$C$5*Assumptions!$C$10,0))*Assumptions!$C$9)*12)+Assumptions!$C$12)*(1-Assumptions!$C$13))-Assumptions!$C$14)*(1+Assumptions!$C$15)^(14-1)</f>
        <v/>
      </c>
      <c r="D18" s="39">
        <f>-(-PMT(Assumptions!$C$18/12,Assumptions!$C$19*12,(Assumptions!$C$17*Assumptions!$C$22))*12)</f>
        <v/>
      </c>
      <c r="E18" s="39">
        <f>C18+D18</f>
        <v/>
      </c>
      <c r="F18" s="39">
        <f>E18*Assumptions!$C$27</f>
        <v/>
      </c>
      <c r="G18" s="39">
        <f>E18*Assumptions!$C$28</f>
        <v/>
      </c>
      <c r="H18" s="39">
        <f>(Assumptions!$C$17*Assumptions!$C$22)*(((1+Assumptions!$C$18/12)^(Assumptions!$C$19*12)-(1+Assumptions!$C$18/12)^(14*12))/((1+Assumptions!$C$18/12)^(Assumptions!$C$19*12)-1))</f>
        <v/>
      </c>
    </row>
    <row r="19">
      <c r="B19" s="37" t="n">
        <v>15</v>
      </c>
      <c r="C19" s="24">
        <f>(((((ROUND(Assumptions!$C$5*Assumptions!$C$10,0)*(Assumptions!$C$9*Assumptions!$C$11)+(Assumptions!$C$5-ROUND(Assumptions!$C$5*Assumptions!$C$10,0))*Assumptions!$C$9)*12)+Assumptions!$C$12)*(1-Assumptions!$C$13))-Assumptions!$C$14)*(1+Assumptions!$C$15)^(15-1)</f>
        <v/>
      </c>
      <c r="D19" s="24">
        <f>-(-PMT(Assumptions!$C$18/12,Assumptions!$C$19*12,(Assumptions!$C$17*Assumptions!$C$22))*12)</f>
        <v/>
      </c>
      <c r="E19" s="24">
        <f>C19+D19</f>
        <v/>
      </c>
      <c r="F19" s="24">
        <f>E19*Assumptions!$C$27</f>
        <v/>
      </c>
      <c r="G19" s="24">
        <f>E19*Assumptions!$C$28</f>
        <v/>
      </c>
      <c r="H19" s="24">
        <f>(Assumptions!$C$17*Assumptions!$C$22)*(((1+Assumptions!$C$18/12)^(Assumptions!$C$19*12)-(1+Assumptions!$C$18/12)^(15*12))/((1+Assumptions!$C$18/12)^(Assumptions!$C$19*12)-1))</f>
        <v/>
      </c>
    </row>
    <row r="20">
      <c r="B20" s="38" t="n">
        <v>16</v>
      </c>
      <c r="C20" s="39">
        <f>(((((ROUND(Assumptions!$C$5*Assumptions!$C$10,0)*(Assumptions!$C$9*Assumptions!$C$11)+(Assumptions!$C$5-ROUND(Assumptions!$C$5*Assumptions!$C$10,0))*Assumptions!$C$9)*12)+Assumptions!$C$12)*(1-Assumptions!$C$13))-Assumptions!$C$14)*(1+Assumptions!$C$15)^(16-1)</f>
        <v/>
      </c>
      <c r="D20" s="39">
        <f>-(-PMT(Assumptions!$C$18/12,Assumptions!$C$19*12,(Assumptions!$C$17*Assumptions!$C$22))*12)</f>
        <v/>
      </c>
      <c r="E20" s="39">
        <f>C20+D20</f>
        <v/>
      </c>
      <c r="F20" s="39">
        <f>E20*Assumptions!$C$27</f>
        <v/>
      </c>
      <c r="G20" s="39">
        <f>E20*Assumptions!$C$28</f>
        <v/>
      </c>
      <c r="H20" s="39">
        <f>(Assumptions!$C$17*Assumptions!$C$22)*(((1+Assumptions!$C$18/12)^(Assumptions!$C$19*12)-(1+Assumptions!$C$18/12)^(16*12))/((1+Assumptions!$C$18/12)^(Assumptions!$C$19*12)-1))</f>
        <v/>
      </c>
    </row>
    <row r="21">
      <c r="B21" s="37" t="n">
        <v>17</v>
      </c>
      <c r="C21" s="24">
        <f>(((((ROUND(Assumptions!$C$5*Assumptions!$C$10,0)*(Assumptions!$C$9*Assumptions!$C$11)+(Assumptions!$C$5-ROUND(Assumptions!$C$5*Assumptions!$C$10,0))*Assumptions!$C$9)*12)+Assumptions!$C$12)*(1-Assumptions!$C$13))-Assumptions!$C$14)*(1+Assumptions!$C$15)^(17-1)</f>
        <v/>
      </c>
      <c r="D21" s="24">
        <f>-(-PMT(Assumptions!$C$18/12,Assumptions!$C$19*12,(Assumptions!$C$17*Assumptions!$C$22))*12)</f>
        <v/>
      </c>
      <c r="E21" s="24">
        <f>C21+D21</f>
        <v/>
      </c>
      <c r="F21" s="24">
        <f>E21*Assumptions!$C$27</f>
        <v/>
      </c>
      <c r="G21" s="24">
        <f>E21*Assumptions!$C$28</f>
        <v/>
      </c>
      <c r="H21" s="24">
        <f>(Assumptions!$C$17*Assumptions!$C$22)*(((1+Assumptions!$C$18/12)^(Assumptions!$C$19*12)-(1+Assumptions!$C$18/12)^(17*12))/((1+Assumptions!$C$18/12)^(Assumptions!$C$19*12)-1))</f>
        <v/>
      </c>
    </row>
    <row r="22">
      <c r="B22" s="38" t="n">
        <v>18</v>
      </c>
      <c r="C22" s="39">
        <f>(((((ROUND(Assumptions!$C$5*Assumptions!$C$10,0)*(Assumptions!$C$9*Assumptions!$C$11)+(Assumptions!$C$5-ROUND(Assumptions!$C$5*Assumptions!$C$10,0))*Assumptions!$C$9)*12)+Assumptions!$C$12)*(1-Assumptions!$C$13))-Assumptions!$C$14)*(1+Assumptions!$C$15)^(18-1)</f>
        <v/>
      </c>
      <c r="D22" s="39">
        <f>-(-PMT(Assumptions!$C$18/12,Assumptions!$C$19*12,(Assumptions!$C$17*Assumptions!$C$22))*12)</f>
        <v/>
      </c>
      <c r="E22" s="39">
        <f>C22+D22</f>
        <v/>
      </c>
      <c r="F22" s="39">
        <f>E22*Assumptions!$C$27</f>
        <v/>
      </c>
      <c r="G22" s="39">
        <f>E22*Assumptions!$C$28</f>
        <v/>
      </c>
      <c r="H22" s="39">
        <f>(Assumptions!$C$17*Assumptions!$C$22)*(((1+Assumptions!$C$18/12)^(Assumptions!$C$19*12)-(1+Assumptions!$C$18/12)^(18*12))/((1+Assumptions!$C$18/12)^(Assumptions!$C$19*12)-1))</f>
        <v/>
      </c>
    </row>
    <row r="23">
      <c r="B23" s="37" t="n">
        <v>19</v>
      </c>
      <c r="C23" s="24">
        <f>(((((ROUND(Assumptions!$C$5*Assumptions!$C$10,0)*(Assumptions!$C$9*Assumptions!$C$11)+(Assumptions!$C$5-ROUND(Assumptions!$C$5*Assumptions!$C$10,0))*Assumptions!$C$9)*12)+Assumptions!$C$12)*(1-Assumptions!$C$13))-Assumptions!$C$14)*(1+Assumptions!$C$15)^(19-1)</f>
        <v/>
      </c>
      <c r="D23" s="24">
        <f>-(-PMT(Assumptions!$C$18/12,Assumptions!$C$19*12,(Assumptions!$C$17*Assumptions!$C$22))*12)</f>
        <v/>
      </c>
      <c r="E23" s="24">
        <f>C23+D23</f>
        <v/>
      </c>
      <c r="F23" s="24">
        <f>E23*Assumptions!$C$27</f>
        <v/>
      </c>
      <c r="G23" s="24">
        <f>E23*Assumptions!$C$28</f>
        <v/>
      </c>
      <c r="H23" s="24">
        <f>(Assumptions!$C$17*Assumptions!$C$22)*(((1+Assumptions!$C$18/12)^(Assumptions!$C$19*12)-(1+Assumptions!$C$18/12)^(19*12))/((1+Assumptions!$C$18/12)^(Assumptions!$C$19*12)-1))</f>
        <v/>
      </c>
    </row>
    <row r="24">
      <c r="B24" s="38" t="n">
        <v>20</v>
      </c>
      <c r="C24" s="39">
        <f>(((((ROUND(Assumptions!$C$5*Assumptions!$C$10,0)*(Assumptions!$C$9*Assumptions!$C$11)+(Assumptions!$C$5-ROUND(Assumptions!$C$5*Assumptions!$C$10,0))*Assumptions!$C$9)*12)+Assumptions!$C$12)*(1-Assumptions!$C$13))-Assumptions!$C$14)*(1+Assumptions!$C$15)^(20-1)</f>
        <v/>
      </c>
      <c r="D24" s="39">
        <f>-(-PMT(Assumptions!$C$18/12,Assumptions!$C$19*12,(Assumptions!$C$17*Assumptions!$C$22))*12)</f>
        <v/>
      </c>
      <c r="E24" s="39">
        <f>C24+D24</f>
        <v/>
      </c>
      <c r="F24" s="39">
        <f>E24*Assumptions!$C$27</f>
        <v/>
      </c>
      <c r="G24" s="39">
        <f>E24*Assumptions!$C$28</f>
        <v/>
      </c>
      <c r="H24" s="39">
        <f>(Assumptions!$C$17*Assumptions!$C$22)*(((1+Assumptions!$C$18/12)^(Assumptions!$C$19*12)-(1+Assumptions!$C$18/12)^(20*12))/((1+Assumptions!$C$18/12)^(Assumptions!$C$19*12)-1))</f>
        <v/>
      </c>
    </row>
    <row r="25">
      <c r="B25" s="32" t="inlineStr">
        <is>
          <t>20-yr total</t>
        </is>
      </c>
      <c r="C25" s="40" t="n"/>
      <c r="D25" s="40" t="n"/>
      <c r="E25" s="26">
        <f>SUM(E5:E24)</f>
        <v/>
      </c>
      <c r="F25" s="26">
        <f>SUM(F5:F24)</f>
        <v/>
      </c>
      <c r="G25" s="26">
        <f>SUM(G5:G24)</f>
        <v/>
      </c>
      <c r="H25" s="40" t="n"/>
    </row>
  </sheetData>
  <mergeCells count="2">
    <mergeCell ref="A3:H3"/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1612"/>
    <outlinePr summaryBelow="1" summaryRight="1"/>
    <pageSetUpPr/>
  </sheetPr>
  <dimension ref="A2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0" customWidth="1" min="3" max="3"/>
    <col width="2" customWidth="1" min="4" max="4"/>
  </cols>
  <sheetData>
    <row r="2" ht="34" customHeight="1">
      <c r="A2" s="1" t="inlineStr">
        <is>
          <t>Returns by Party</t>
        </is>
      </c>
      <c r="B2" s="2" t="n"/>
      <c r="C2" s="2" t="n"/>
    </row>
    <row r="3" ht="18" customHeight="1">
      <c r="A3" s="3" t="inlineStr">
        <is>
          <t>Landowner and non-profit outcomes over the 20-year term</t>
        </is>
      </c>
      <c r="B3" s="2" t="n"/>
      <c r="C3" s="2" t="n"/>
    </row>
    <row r="4" ht="20" customHeight="1">
      <c r="A4" s="5" t="inlineStr">
        <is>
          <t>LANDOWNER</t>
        </is>
      </c>
      <c r="B4" s="6" t="n"/>
      <c r="C4" s="6" t="n"/>
    </row>
    <row r="5">
      <c r="B5" s="18" t="inlineStr">
        <is>
          <t>Day-1 cash draw (60% of land value)</t>
        </is>
      </c>
      <c r="C5" s="24">
        <f>((Assumptions!$C$6*Assumptions!$C$7)*Assumptions!$C$26)</f>
        <v/>
      </c>
    </row>
    <row r="6">
      <c r="B6" s="18" t="inlineStr">
        <is>
          <t>20-year income (60% of net cash flow)</t>
        </is>
      </c>
      <c r="C6" s="24">
        <f>'20-Year Cash Flow'!$F$25</f>
        <v/>
      </c>
    </row>
    <row r="7">
      <c r="B7" s="18" t="inlineStr">
        <is>
          <t>Year-20 payment (retained land + paydown share)</t>
        </is>
      </c>
      <c r="C7" s="24">
        <f>(((Assumptions!$C$6*Assumptions!$C$7)*(1-Assumptions!$C$26))+Assumptions!$C$27*((Assumptions!$C$17*Assumptions!$C$22)-'20-Year Cash Flow'!$H$24))</f>
        <v/>
      </c>
    </row>
    <row r="8">
      <c r="B8" s="32" t="inlineStr">
        <is>
          <t>Total landowner return</t>
        </is>
      </c>
      <c r="C8" s="41">
        <f>SUM(C5:C7)</f>
        <v/>
      </c>
    </row>
    <row r="9">
      <c r="B9" s="4" t="inlineStr">
        <is>
          <t>For comparison — sell land today (net of cost)</t>
        </is>
      </c>
      <c r="C9" s="42">
        <f>(Assumptions!$C$6*Assumptions!$C$7)*(1-Assumptions!$C$29)</f>
        <v/>
      </c>
    </row>
    <row r="10">
      <c r="B10" s="14" t="inlineStr">
        <is>
          <t>Advantage vs. selling</t>
        </is>
      </c>
      <c r="C10" s="34">
        <f>C8-C9</f>
        <v/>
      </c>
    </row>
    <row r="12" ht="20" customHeight="1">
      <c r="A12" s="5" t="inlineStr">
        <is>
          <t>NON-PROFIT OPERATOR</t>
        </is>
      </c>
      <c r="B12" s="6" t="n"/>
      <c r="C12" s="6" t="n"/>
    </row>
    <row r="13">
      <c r="B13" s="18" t="inlineStr">
        <is>
          <t>Building ownership from Day 1</t>
        </is>
      </c>
      <c r="C13" s="24">
        <f>0</f>
        <v/>
      </c>
    </row>
    <row r="14">
      <c r="B14" s="18" t="inlineStr">
        <is>
          <t>20-year income (40% of net cash flow)</t>
        </is>
      </c>
      <c r="C14" s="24">
        <f>'20-Year Cash Flow'!$G$25</f>
        <v/>
      </c>
    </row>
    <row r="15">
      <c r="B15" s="18" t="inlineStr">
        <is>
          <t>Net equity owned at Year 20 (land+building − debt − land payment)</t>
        </is>
      </c>
      <c r="C15" s="24">
        <f>(('20-Year Cash Flow'!$C$24/Assumptions!$C$20)-'20-Year Cash Flow'!$H$24-(((Assumptions!$C$6*Assumptions!$C$7)*(1-Assumptions!$C$26))+Assumptions!$C$27*((Assumptions!$C$17*Assumptions!$C$22)-'20-Year Cash Flow'!$H$24)))</f>
        <v/>
      </c>
    </row>
    <row r="16">
      <c r="B16" s="32" t="inlineStr">
        <is>
          <t>Total non-profit value</t>
        </is>
      </c>
      <c r="C16" s="41">
        <f>C14+C15</f>
        <v/>
      </c>
    </row>
    <row r="17">
      <c r="B17" s="43" t="inlineStr">
        <is>
          <t>+ 516 permanently affordable homes (155 at 80% MMR)</t>
        </is>
      </c>
    </row>
  </sheetData>
  <mergeCells count="4">
    <mergeCell ref="A12:C12"/>
    <mergeCell ref="A4:C4"/>
    <mergeCell ref="A3:C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1612"/>
    <outlinePr summaryBelow="1" summaryRight="1"/>
    <pageSetUpPr/>
  </sheetPr>
  <dimension ref="A2:E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2" ht="34" customHeight="1">
      <c r="A2" s="1" t="inlineStr">
        <is>
          <t>DSCR Sensitivity</t>
        </is>
      </c>
      <c r="B2" s="2" t="n"/>
      <c r="C2" s="2" t="n"/>
      <c r="D2" s="2" t="n"/>
      <c r="E2" s="2" t="n"/>
    </row>
    <row r="3" ht="18" customHeight="1">
      <c r="A3" s="3" t="inlineStr">
        <is>
          <t>Median market rent × mortgage rate (30% @ 80% MMR, 50-yr amort)</t>
        </is>
      </c>
      <c r="B3" s="2" t="n"/>
      <c r="C3" s="2" t="n"/>
      <c r="D3" s="2" t="n"/>
      <c r="E3" s="2" t="n"/>
    </row>
    <row r="4" ht="18" customHeight="1">
      <c r="A4" s="11" t="inlineStr">
        <is>
          <t>Median market rent</t>
        </is>
      </c>
      <c r="B4" s="13" t="inlineStr">
        <is>
          <t>@ 4.00%</t>
        </is>
      </c>
      <c r="C4" s="13" t="inlineStr">
        <is>
          <t>@ 4.25%</t>
        </is>
      </c>
      <c r="D4" s="13" t="inlineStr">
        <is>
          <t>@ 4.75%</t>
        </is>
      </c>
    </row>
    <row r="5">
      <c r="B5" s="18" t="inlineStr">
        <is>
          <t>$2,400</t>
        </is>
      </c>
      <c r="C5" s="44">
        <f>(((ROUND(Assumptions!$C$5*Assumptions!$C$10,0)*2400*Assumptions!$C$11+(Assumptions!$C$5-ROUND(Assumptions!$C$5*Assumptions!$C$10,0))*2400)*12+Assumptions!$C$12)*(1-Assumptions!$C$13)-Assumptions!$C$14)/(-PMT(0.04/12,Assumptions!$C$19*12,(Assumptions!$C$17*Assumptions!$C$22))*12)</f>
        <v/>
      </c>
      <c r="D5" s="44">
        <f>(((ROUND(Assumptions!$C$5*Assumptions!$C$10,0)*2400*Assumptions!$C$11+(Assumptions!$C$5-ROUND(Assumptions!$C$5*Assumptions!$C$10,0))*2400)*12+Assumptions!$C$12)*(1-Assumptions!$C$13)-Assumptions!$C$14)/(-PMT(0.0425/12,Assumptions!$C$19*12,(Assumptions!$C$17*Assumptions!$C$22))*12)</f>
        <v/>
      </c>
      <c r="E5" s="44">
        <f>(((ROUND(Assumptions!$C$5*Assumptions!$C$10,0)*2400*Assumptions!$C$11+(Assumptions!$C$5-ROUND(Assumptions!$C$5*Assumptions!$C$10,0))*2400)*12+Assumptions!$C$12)*(1-Assumptions!$C$13)-Assumptions!$C$14)/(-PMT(0.0475/12,Assumptions!$C$19*12,(Assumptions!$C$17*Assumptions!$C$22))*12)</f>
        <v/>
      </c>
    </row>
    <row r="6">
      <c r="B6" s="18" t="inlineStr">
        <is>
          <t>$2,500</t>
        </is>
      </c>
      <c r="C6" s="44">
        <f>(((ROUND(Assumptions!$C$5*Assumptions!$C$10,0)*2500*Assumptions!$C$11+(Assumptions!$C$5-ROUND(Assumptions!$C$5*Assumptions!$C$10,0))*2500)*12+Assumptions!$C$12)*(1-Assumptions!$C$13)-Assumptions!$C$14)/(-PMT(0.04/12,Assumptions!$C$19*12,(Assumptions!$C$17*Assumptions!$C$22))*12)</f>
        <v/>
      </c>
      <c r="D6" s="44">
        <f>(((ROUND(Assumptions!$C$5*Assumptions!$C$10,0)*2500*Assumptions!$C$11+(Assumptions!$C$5-ROUND(Assumptions!$C$5*Assumptions!$C$10,0))*2500)*12+Assumptions!$C$12)*(1-Assumptions!$C$13)-Assumptions!$C$14)/(-PMT(0.0425/12,Assumptions!$C$19*12,(Assumptions!$C$17*Assumptions!$C$22))*12)</f>
        <v/>
      </c>
      <c r="E6" s="44">
        <f>(((ROUND(Assumptions!$C$5*Assumptions!$C$10,0)*2500*Assumptions!$C$11+(Assumptions!$C$5-ROUND(Assumptions!$C$5*Assumptions!$C$10,0))*2500)*12+Assumptions!$C$12)*(1-Assumptions!$C$13)-Assumptions!$C$14)/(-PMT(0.0475/12,Assumptions!$C$19*12,(Assumptions!$C$17*Assumptions!$C$22))*12)</f>
        <v/>
      </c>
    </row>
    <row r="7">
      <c r="B7" s="32" t="inlineStr">
        <is>
          <t>$2,550  (base)</t>
        </is>
      </c>
      <c r="C7" s="45">
        <f>(((ROUND(Assumptions!$C$5*Assumptions!$C$10,0)*2550*Assumptions!$C$11+(Assumptions!$C$5-ROUND(Assumptions!$C$5*Assumptions!$C$10,0))*2550)*12+Assumptions!$C$12)*(1-Assumptions!$C$13)-Assumptions!$C$14)/(-PMT(0.04/12,Assumptions!$C$19*12,(Assumptions!$C$17*Assumptions!$C$22))*12)</f>
        <v/>
      </c>
      <c r="D7" s="45">
        <f>(((ROUND(Assumptions!$C$5*Assumptions!$C$10,0)*2550*Assumptions!$C$11+(Assumptions!$C$5-ROUND(Assumptions!$C$5*Assumptions!$C$10,0))*2550)*12+Assumptions!$C$12)*(1-Assumptions!$C$13)-Assumptions!$C$14)/(-PMT(0.0425/12,Assumptions!$C$19*12,(Assumptions!$C$17*Assumptions!$C$22))*12)</f>
        <v/>
      </c>
      <c r="E7" s="45">
        <f>(((ROUND(Assumptions!$C$5*Assumptions!$C$10,0)*2550*Assumptions!$C$11+(Assumptions!$C$5-ROUND(Assumptions!$C$5*Assumptions!$C$10,0))*2550)*12+Assumptions!$C$12)*(1-Assumptions!$C$13)-Assumptions!$C$14)/(-PMT(0.0475/12,Assumptions!$C$19*12,(Assumptions!$C$17*Assumptions!$C$22))*12)</f>
        <v/>
      </c>
    </row>
    <row r="8">
      <c r="B8" s="18" t="inlineStr">
        <is>
          <t>$2,600</t>
        </is>
      </c>
      <c r="C8" s="44">
        <f>(((ROUND(Assumptions!$C$5*Assumptions!$C$10,0)*2600*Assumptions!$C$11+(Assumptions!$C$5-ROUND(Assumptions!$C$5*Assumptions!$C$10,0))*2600)*12+Assumptions!$C$12)*(1-Assumptions!$C$13)-Assumptions!$C$14)/(-PMT(0.04/12,Assumptions!$C$19*12,(Assumptions!$C$17*Assumptions!$C$22))*12)</f>
        <v/>
      </c>
      <c r="D8" s="44">
        <f>(((ROUND(Assumptions!$C$5*Assumptions!$C$10,0)*2600*Assumptions!$C$11+(Assumptions!$C$5-ROUND(Assumptions!$C$5*Assumptions!$C$10,0))*2600)*12+Assumptions!$C$12)*(1-Assumptions!$C$13)-Assumptions!$C$14)/(-PMT(0.0425/12,Assumptions!$C$19*12,(Assumptions!$C$17*Assumptions!$C$22))*12)</f>
        <v/>
      </c>
      <c r="E8" s="44">
        <f>(((ROUND(Assumptions!$C$5*Assumptions!$C$10,0)*2600*Assumptions!$C$11+(Assumptions!$C$5-ROUND(Assumptions!$C$5*Assumptions!$C$10,0))*2600)*12+Assumptions!$C$12)*(1-Assumptions!$C$13)-Assumptions!$C$14)/(-PMT(0.0475/12,Assumptions!$C$19*12,(Assumptions!$C$17*Assumptions!$C$22))*12)</f>
        <v/>
      </c>
    </row>
    <row r="9">
      <c r="B9" s="18" t="inlineStr">
        <is>
          <t>$2,700</t>
        </is>
      </c>
      <c r="C9" s="44">
        <f>(((ROUND(Assumptions!$C$5*Assumptions!$C$10,0)*2700*Assumptions!$C$11+(Assumptions!$C$5-ROUND(Assumptions!$C$5*Assumptions!$C$10,0))*2700)*12+Assumptions!$C$12)*(1-Assumptions!$C$13)-Assumptions!$C$14)/(-PMT(0.04/12,Assumptions!$C$19*12,(Assumptions!$C$17*Assumptions!$C$22))*12)</f>
        <v/>
      </c>
      <c r="D9" s="44">
        <f>(((ROUND(Assumptions!$C$5*Assumptions!$C$10,0)*2700*Assumptions!$C$11+(Assumptions!$C$5-ROUND(Assumptions!$C$5*Assumptions!$C$10,0))*2700)*12+Assumptions!$C$12)*(1-Assumptions!$C$13)-Assumptions!$C$14)/(-PMT(0.0425/12,Assumptions!$C$19*12,(Assumptions!$C$17*Assumptions!$C$22))*12)</f>
        <v/>
      </c>
      <c r="E9" s="44">
        <f>(((ROUND(Assumptions!$C$5*Assumptions!$C$10,0)*2700*Assumptions!$C$11+(Assumptions!$C$5-ROUND(Assumptions!$C$5*Assumptions!$C$10,0))*2700)*12+Assumptions!$C$12)*(1-Assumptions!$C$13)-Assumptions!$C$14)/(-PMT(0.0475/12,Assumptions!$C$19*12,(Assumptions!$C$17*Assumptions!$C$22))*12)</f>
        <v/>
      </c>
    </row>
    <row r="11">
      <c r="B11" s="20" t="inlineStr">
        <is>
          <t>Red = below the 1.10× CMHC MLI Select coverage floor.</t>
        </is>
      </c>
    </row>
  </sheetData>
  <mergeCells count="3">
    <mergeCell ref="A2:E2"/>
    <mergeCell ref="B11:E11"/>
    <mergeCell ref="A3:E3"/>
  </mergeCells>
  <conditionalFormatting sqref="C5:E9">
    <cfRule type="cellIs" priority="1" operator="lessThan" dxfId="0">
      <formula>1.1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1612"/>
    <outlinePr summaryBelow="1" summaryRight="1"/>
    <pageSetUpPr/>
  </sheetPr>
  <dimension ref="A2:C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 ht="34" customHeight="1">
      <c r="A2" s="1" t="inlineStr">
        <is>
          <t>Notes &amp; Disclaimer</t>
        </is>
      </c>
      <c r="B2" s="2" t="n"/>
      <c r="C2" s="2" t="n"/>
    </row>
    <row r="3" ht="18" customHeight="1">
      <c r="A3" s="3" t="inlineStr"/>
      <c r="B3" s="2" t="n"/>
      <c r="C3" s="2" t="n"/>
    </row>
    <row r="4" ht="16" customHeight="1">
      <c r="B4" s="46" t="inlineStr">
        <is>
          <t>This workbook is an illustrative development model prepared by Ubuntu Land Trust &amp; Developments for discussion.</t>
        </is>
      </c>
    </row>
    <row r="5" ht="16" customHeight="1">
      <c r="B5" s="46" t="inlineStr">
        <is>
          <t>Program (516 units, 43 storeys) is from the 28 Athabaska Ave SPA/ZBA architectural set (Delmar Group / ZO1).</t>
        </is>
      </c>
    </row>
    <row r="6" ht="16" customHeight="1">
      <c r="B6" s="46" t="inlineStr">
        <is>
          <t>Land value, construction costs, rents, operating expenses, cap rate, and financing terms are modelling assumptions</t>
        </is>
      </c>
    </row>
    <row r="7" ht="16" customHeight="1">
      <c r="B7" s="46" t="inlineStr">
        <is>
          <t>— not a valuation, appraisal, offer, or financial advice. Edit the Assumptions tab; all tabs recalculate.</t>
        </is>
      </c>
    </row>
    <row r="8" ht="16" customHeight="1">
      <c r="B8" s="46" t="inlineStr">
        <is>
          <t>Affordability: 30% of units (155) held at 80% of median market rent per CMHC MLI Select.</t>
        </is>
      </c>
    </row>
    <row r="9" ht="16" customHeight="1">
      <c r="B9" s="46" t="inlineStr">
        <is>
          <t>Subject to a quantity-surveyor budget, a verified rent schedule, third-party financing approvals</t>
        </is>
      </c>
    </row>
    <row r="10" ht="16" customHeight="1">
      <c r="B10" s="46" t="inlineStr">
        <is>
          <t>(CMHC MLI Select, Build Canada Homes, City of Toronto), and definitive legal documentation. Actual results will differ.</t>
        </is>
      </c>
    </row>
  </sheetData>
  <mergeCells count="2"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Ubuntu Land Trust &amp; Developments</dc:creator>
  <dc:title>Ubuntu LTD — 28 Athabaska Development Model</dc:title>
  <dcterms:created xsi:type="dcterms:W3CDTF">2026-05-29T01:34:58Z</dcterms:created>
  <dcterms:modified xsi:type="dcterms:W3CDTF">2026-05-29T01:34:58Z</dcterms:modified>
</cp:coreProperties>
</file>